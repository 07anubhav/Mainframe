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46195820-0A87-4F0E-A794-E9E97EB1C32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C BILL FILE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4" l="1"/>
  <c r="D21" i="4"/>
  <c r="D22" i="4"/>
  <c r="D23" i="4"/>
  <c r="D24" i="4"/>
  <c r="D18" i="4"/>
  <c r="C25" i="4"/>
  <c r="D25" i="4" s="1"/>
  <c r="C24" i="4"/>
  <c r="C20" i="4"/>
  <c r="D20" i="4" s="1"/>
</calcChain>
</file>

<file path=xl/sharedStrings.xml><?xml version="1.0" encoding="utf-8"?>
<sst xmlns="http://schemas.openxmlformats.org/spreadsheetml/2006/main" count="122" uniqueCount="53">
  <si>
    <t>CARD NUMBER</t>
  </si>
  <si>
    <t>CUST-NAME</t>
  </si>
  <si>
    <t>CARD-LIMIT</t>
  </si>
  <si>
    <t>PREVIOUS DUE</t>
  </si>
  <si>
    <t>PREVIOUS DUE PAID</t>
  </si>
  <si>
    <t>CARD-TYPE</t>
  </si>
  <si>
    <t>REWARD-POINT-CODE</t>
  </si>
  <si>
    <t>CARD-EXPIRE-DATE</t>
  </si>
  <si>
    <t>Alphanumeric</t>
  </si>
  <si>
    <t>Numeric</t>
  </si>
  <si>
    <t>CUST-ACTIVE-IND</t>
  </si>
  <si>
    <t>CC001</t>
  </si>
  <si>
    <t>CC002</t>
  </si>
  <si>
    <t>CC003</t>
  </si>
  <si>
    <t>CC004</t>
  </si>
  <si>
    <t>CC005</t>
  </si>
  <si>
    <t>CC006</t>
  </si>
  <si>
    <t>CC007</t>
  </si>
  <si>
    <t>CC008</t>
  </si>
  <si>
    <t>CC009</t>
  </si>
  <si>
    <t>CC010</t>
  </si>
  <si>
    <t>CC012</t>
  </si>
  <si>
    <t>ANIL POLSANI</t>
  </si>
  <si>
    <t>RAMESH</t>
  </si>
  <si>
    <t>ABHI</t>
  </si>
  <si>
    <t>RAHUL</t>
  </si>
  <si>
    <t>SHIVA</t>
  </si>
  <si>
    <t>ARUN</t>
  </si>
  <si>
    <t>SUMANTH</t>
  </si>
  <si>
    <t>SHYAM</t>
  </si>
  <si>
    <t>RAKESH</t>
  </si>
  <si>
    <t>RAMA</t>
  </si>
  <si>
    <t>LAST-BILL-DATE</t>
  </si>
  <si>
    <t>CC014</t>
  </si>
  <si>
    <t>KUSTER</t>
  </si>
  <si>
    <t>SRINU</t>
  </si>
  <si>
    <t>A</t>
  </si>
  <si>
    <t>I</t>
  </si>
  <si>
    <t>B</t>
  </si>
  <si>
    <t>C</t>
  </si>
  <si>
    <t>DUE-AMT-TO-PAY</t>
  </si>
  <si>
    <t>TOTAL-DUE-TO-PAY</t>
  </si>
  <si>
    <t>MIN-DUE-TO-PAY</t>
  </si>
  <si>
    <t>BILL DATE</t>
  </si>
  <si>
    <t>DUE-DATE</t>
  </si>
  <si>
    <t>Current Date</t>
  </si>
  <si>
    <t>Bill date+20 days</t>
  </si>
  <si>
    <t>LAYOUT</t>
  </si>
  <si>
    <t>CARD-NUMBER</t>
  </si>
  <si>
    <t>BILL-DATE</t>
  </si>
  <si>
    <t>5,2</t>
  </si>
  <si>
    <t>TRANS COBOL PGM-6 VIDEO 8</t>
  </si>
  <si>
    <t>CREDIT CARD MASTER FILE     COBOL PGM-6 VIDEO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</si>
</sst>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5" fillId="2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/>
    <xf numFmtId="44" fontId="0" fillId="0" borderId="1" xfId="3" applyFont="1" applyBorder="1"/>
    <xf numFmtId="0" fontId="0" fillId="0" borderId="1" xfId="0" applyBorder="1" applyAlignment="1">
      <alignment horizontal="right"/>
    </xf>
    <xf numFmtId="0" fontId="7" fillId="0" borderId="1" xfId="0" applyFont="1" applyBorder="1"/>
    <xf numFmtId="44" fontId="0" fillId="0" borderId="1" xfId="0" applyNumberFormat="1" applyBorder="1"/>
    <xf numFmtId="44" fontId="0" fillId="4" borderId="1" xfId="0" applyNumberFormat="1" applyFill="1" applyBorder="1"/>
    <xf numFmtId="0" fontId="4" fillId="4" borderId="1" xfId="0" applyFont="1" applyFill="1" applyBorder="1" applyAlignment="1">
      <alignment horizontal="left"/>
    </xf>
    <xf numFmtId="44" fontId="4" fillId="4" borderId="1" xfId="0" applyNumberFormat="1" applyFont="1" applyFill="1" applyBorder="1"/>
    <xf numFmtId="0" fontId="3" fillId="3" borderId="1" xfId="2" applyFont="1" applyBorder="1" applyAlignment="1">
      <alignment horizontal="center"/>
    </xf>
    <xf numFmtId="0" fontId="3" fillId="3" borderId="2" xfId="2" applyFont="1" applyBorder="1" applyAlignment="1">
      <alignment horizontal="center"/>
    </xf>
    <xf numFmtId="0" fontId="0" fillId="0" borderId="0" xfId="0" applyBorder="1"/>
  </cellXfs>
  <cellStyles count="4">
    <cellStyle name="Currency" xfId="3" builtinId="4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7C7C-3E7E-4A76-A672-D5D3862E1E76}">
  <dimension ref="A1:M33"/>
  <sheetViews>
    <sheetView tabSelected="1" zoomScaleNormal="100" workbookViewId="0">
      <selection activeCell="D27" sqref="D27"/>
    </sheetView>
  </sheetViews>
  <sheetFormatPr defaultRowHeight="14.4" x14ac:dyDescent="0.3"/>
  <cols>
    <col min="1" max="1" width="14.21875" bestFit="1" customWidth="1"/>
    <col min="2" max="2" width="12.6640625" bestFit="1" customWidth="1"/>
    <col min="3" max="3" width="18.21875" bestFit="1" customWidth="1"/>
    <col min="4" max="4" width="16.21875" bestFit="1" customWidth="1"/>
    <col min="5" max="5" width="18.6640625" bestFit="1" customWidth="1"/>
    <col min="6" max="6" width="15.21875" bestFit="1" customWidth="1"/>
    <col min="7" max="7" width="20.5546875" bestFit="1" customWidth="1"/>
    <col min="8" max="8" width="18.21875" bestFit="1" customWidth="1"/>
    <col min="9" max="9" width="16.109375" bestFit="1" customWidth="1"/>
    <col min="10" max="10" width="14.44140625" bestFit="1" customWidth="1"/>
    <col min="11" max="11" width="4.88671875" customWidth="1"/>
    <col min="12" max="12" width="14.21875" bestFit="1" customWidth="1"/>
    <col min="13" max="13" width="18" bestFit="1" customWidth="1"/>
  </cols>
  <sheetData>
    <row r="1" spans="1:13" x14ac:dyDescent="0.3">
      <c r="A1" s="14" t="s">
        <v>52</v>
      </c>
      <c r="B1" s="14"/>
      <c r="C1" s="14"/>
      <c r="D1" s="14"/>
      <c r="E1" s="14"/>
      <c r="F1" s="14"/>
      <c r="G1" s="14"/>
      <c r="H1" s="14"/>
      <c r="I1" s="14"/>
      <c r="J1" s="14"/>
      <c r="L1" s="15" t="s">
        <v>51</v>
      </c>
      <c r="M1" s="15"/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32</v>
      </c>
      <c r="L2" s="1" t="s">
        <v>0</v>
      </c>
      <c r="M2" s="1" t="s">
        <v>40</v>
      </c>
    </row>
    <row r="3" spans="1:13" x14ac:dyDescent="0.3">
      <c r="A3" s="2" t="s">
        <v>11</v>
      </c>
      <c r="B3" s="2" t="s">
        <v>22</v>
      </c>
      <c r="C3" s="3">
        <v>50000</v>
      </c>
      <c r="D3" s="3">
        <v>0</v>
      </c>
      <c r="E3" s="3">
        <v>0</v>
      </c>
      <c r="F3" s="2">
        <v>1</v>
      </c>
      <c r="G3" s="2" t="s">
        <v>36</v>
      </c>
      <c r="H3" s="4">
        <v>20221231</v>
      </c>
      <c r="I3" s="4" t="s">
        <v>36</v>
      </c>
      <c r="J3" s="2">
        <v>20220820</v>
      </c>
      <c r="L3" s="6" t="s">
        <v>11</v>
      </c>
      <c r="M3" s="7">
        <v>17000</v>
      </c>
    </row>
    <row r="4" spans="1:13" x14ac:dyDescent="0.3">
      <c r="A4" s="2" t="s">
        <v>12</v>
      </c>
      <c r="B4" s="2" t="s">
        <v>31</v>
      </c>
      <c r="C4" s="3">
        <v>50000</v>
      </c>
      <c r="D4" s="3">
        <v>20000</v>
      </c>
      <c r="E4" s="3">
        <v>20000</v>
      </c>
      <c r="F4" s="2">
        <v>1</v>
      </c>
      <c r="G4" s="2" t="s">
        <v>36</v>
      </c>
      <c r="H4" s="4">
        <v>20221231</v>
      </c>
      <c r="I4" s="4" t="s">
        <v>36</v>
      </c>
      <c r="J4" s="2">
        <v>20220920</v>
      </c>
      <c r="L4" s="6" t="s">
        <v>12</v>
      </c>
      <c r="M4" s="7">
        <v>3500</v>
      </c>
    </row>
    <row r="5" spans="1:13" x14ac:dyDescent="0.3">
      <c r="A5" s="2" t="s">
        <v>13</v>
      </c>
      <c r="B5" s="2" t="s">
        <v>30</v>
      </c>
      <c r="C5" s="3">
        <v>50000</v>
      </c>
      <c r="D5" s="3">
        <v>10000</v>
      </c>
      <c r="E5" s="3">
        <v>8000</v>
      </c>
      <c r="F5" s="2">
        <v>1</v>
      </c>
      <c r="G5" s="2" t="s">
        <v>36</v>
      </c>
      <c r="H5" s="4">
        <v>20221231</v>
      </c>
      <c r="I5" s="4" t="s">
        <v>36</v>
      </c>
      <c r="J5" s="2">
        <v>20220920</v>
      </c>
      <c r="L5" s="6" t="s">
        <v>13</v>
      </c>
      <c r="M5" s="7">
        <v>1500</v>
      </c>
    </row>
    <row r="6" spans="1:13" x14ac:dyDescent="0.3">
      <c r="A6" s="2" t="s">
        <v>14</v>
      </c>
      <c r="B6" s="2" t="s">
        <v>23</v>
      </c>
      <c r="C6" s="3">
        <v>50000</v>
      </c>
      <c r="D6" s="3">
        <v>15000</v>
      </c>
      <c r="E6" s="3">
        <v>15000</v>
      </c>
      <c r="F6" s="2">
        <v>2</v>
      </c>
      <c r="G6" s="2" t="s">
        <v>38</v>
      </c>
      <c r="H6" s="4">
        <v>20221231</v>
      </c>
      <c r="I6" s="4" t="s">
        <v>36</v>
      </c>
      <c r="J6" s="2">
        <v>20220920</v>
      </c>
      <c r="L6" s="6" t="s">
        <v>15</v>
      </c>
      <c r="M6" s="7">
        <v>15000</v>
      </c>
    </row>
    <row r="7" spans="1:13" x14ac:dyDescent="0.3">
      <c r="A7" s="2" t="s">
        <v>15</v>
      </c>
      <c r="B7" s="2" t="s">
        <v>24</v>
      </c>
      <c r="C7" s="3">
        <v>50000</v>
      </c>
      <c r="D7" s="3">
        <v>0</v>
      </c>
      <c r="E7" s="3">
        <v>0</v>
      </c>
      <c r="F7" s="2">
        <v>2</v>
      </c>
      <c r="G7" s="2" t="s">
        <v>38</v>
      </c>
      <c r="H7" s="4">
        <v>20221231</v>
      </c>
      <c r="I7" s="4" t="s">
        <v>37</v>
      </c>
      <c r="J7" s="2">
        <v>20220720</v>
      </c>
      <c r="L7" s="6" t="s">
        <v>16</v>
      </c>
      <c r="M7" s="7">
        <v>27000</v>
      </c>
    </row>
    <row r="8" spans="1:13" x14ac:dyDescent="0.3">
      <c r="A8" s="2" t="s">
        <v>16</v>
      </c>
      <c r="B8" s="2" t="s">
        <v>25</v>
      </c>
      <c r="C8" s="3">
        <v>50000</v>
      </c>
      <c r="D8" s="3">
        <v>0</v>
      </c>
      <c r="E8" s="3">
        <v>0</v>
      </c>
      <c r="F8" s="2">
        <v>3</v>
      </c>
      <c r="G8" s="2" t="s">
        <v>39</v>
      </c>
      <c r="H8" s="4">
        <v>20221231</v>
      </c>
      <c r="I8" s="4" t="s">
        <v>37</v>
      </c>
      <c r="J8" s="2">
        <v>20220720</v>
      </c>
      <c r="L8" s="6" t="s">
        <v>17</v>
      </c>
      <c r="M8" s="7">
        <v>1500</v>
      </c>
    </row>
    <row r="9" spans="1:13" x14ac:dyDescent="0.3">
      <c r="A9" s="2" t="s">
        <v>17</v>
      </c>
      <c r="B9" s="2" t="s">
        <v>26</v>
      </c>
      <c r="C9" s="3">
        <v>50000</v>
      </c>
      <c r="D9" s="3">
        <v>0</v>
      </c>
      <c r="E9" s="3">
        <v>0</v>
      </c>
      <c r="F9" s="2">
        <v>3</v>
      </c>
      <c r="G9" s="2" t="s">
        <v>39</v>
      </c>
      <c r="H9" s="4">
        <v>20221231</v>
      </c>
      <c r="I9" s="4" t="s">
        <v>37</v>
      </c>
      <c r="J9" s="2">
        <v>20220720</v>
      </c>
      <c r="L9" s="6" t="s">
        <v>19</v>
      </c>
      <c r="M9" s="7">
        <v>30000</v>
      </c>
    </row>
    <row r="10" spans="1:13" x14ac:dyDescent="0.3">
      <c r="A10" s="2" t="s">
        <v>18</v>
      </c>
      <c r="B10" s="2" t="s">
        <v>27</v>
      </c>
      <c r="C10" s="3">
        <v>50000</v>
      </c>
      <c r="D10" s="3">
        <v>12000</v>
      </c>
      <c r="E10" s="3">
        <v>6000</v>
      </c>
      <c r="F10" s="2">
        <v>3</v>
      </c>
      <c r="G10" s="2" t="s">
        <v>39</v>
      </c>
      <c r="H10" s="4">
        <v>20221231</v>
      </c>
      <c r="I10" s="4" t="s">
        <v>36</v>
      </c>
      <c r="J10" s="2">
        <v>20220920</v>
      </c>
    </row>
    <row r="11" spans="1:13" x14ac:dyDescent="0.3">
      <c r="A11" s="2" t="s">
        <v>19</v>
      </c>
      <c r="B11" s="2" t="s">
        <v>28</v>
      </c>
      <c r="C11" s="3">
        <v>50000</v>
      </c>
      <c r="D11" s="3">
        <v>13000</v>
      </c>
      <c r="E11" s="3">
        <v>12000</v>
      </c>
      <c r="F11" s="2">
        <v>2</v>
      </c>
      <c r="G11" s="2" t="s">
        <v>38</v>
      </c>
      <c r="H11" s="4">
        <v>20221231</v>
      </c>
      <c r="I11" s="4" t="s">
        <v>36</v>
      </c>
      <c r="J11" s="2">
        <v>20220920</v>
      </c>
    </row>
    <row r="12" spans="1:13" x14ac:dyDescent="0.3">
      <c r="A12" s="2" t="s">
        <v>20</v>
      </c>
      <c r="B12" s="2" t="s">
        <v>29</v>
      </c>
      <c r="C12" s="3">
        <v>50000</v>
      </c>
      <c r="D12" s="3">
        <v>0</v>
      </c>
      <c r="E12" s="3">
        <v>0</v>
      </c>
      <c r="F12" s="2">
        <v>2</v>
      </c>
      <c r="G12" s="2" t="s">
        <v>38</v>
      </c>
      <c r="H12" s="4">
        <v>20221231</v>
      </c>
      <c r="I12" s="4" t="s">
        <v>36</v>
      </c>
      <c r="J12" s="2">
        <v>20220820</v>
      </c>
    </row>
    <row r="13" spans="1:13" x14ac:dyDescent="0.3">
      <c r="A13" s="2" t="s">
        <v>21</v>
      </c>
      <c r="B13" s="2" t="s">
        <v>34</v>
      </c>
      <c r="C13" s="3">
        <v>50000</v>
      </c>
      <c r="D13" s="3">
        <v>0</v>
      </c>
      <c r="E13" s="3">
        <v>0</v>
      </c>
      <c r="F13" s="2">
        <v>1</v>
      </c>
      <c r="G13" s="2" t="s">
        <v>36</v>
      </c>
      <c r="H13" s="4">
        <v>20221231</v>
      </c>
      <c r="I13" s="4" t="s">
        <v>37</v>
      </c>
      <c r="J13" s="2">
        <v>20220620</v>
      </c>
    </row>
    <row r="14" spans="1:13" x14ac:dyDescent="0.3">
      <c r="A14" s="2" t="s">
        <v>33</v>
      </c>
      <c r="B14" s="2" t="s">
        <v>35</v>
      </c>
      <c r="C14" s="3">
        <v>50000</v>
      </c>
      <c r="D14" s="3">
        <v>0</v>
      </c>
      <c r="E14" s="3">
        <v>0</v>
      </c>
      <c r="F14" s="2">
        <v>1</v>
      </c>
      <c r="G14" s="2" t="s">
        <v>36</v>
      </c>
      <c r="H14" s="4">
        <v>20221231</v>
      </c>
      <c r="I14" s="4" t="s">
        <v>37</v>
      </c>
      <c r="J14" s="2">
        <v>20220620</v>
      </c>
    </row>
    <row r="17" spans="1:10" x14ac:dyDescent="0.3">
      <c r="A17" s="1" t="s">
        <v>0</v>
      </c>
      <c r="B17" s="1" t="s">
        <v>1</v>
      </c>
      <c r="C17" s="1" t="s">
        <v>41</v>
      </c>
      <c r="D17" s="1" t="s">
        <v>42</v>
      </c>
      <c r="E17" s="1" t="s">
        <v>43</v>
      </c>
      <c r="F17" s="1" t="s">
        <v>44</v>
      </c>
      <c r="H17" s="1" t="s">
        <v>47</v>
      </c>
    </row>
    <row r="18" spans="1:10" x14ac:dyDescent="0.3">
      <c r="A18" s="2" t="s">
        <v>11</v>
      </c>
      <c r="B18" s="2" t="s">
        <v>22</v>
      </c>
      <c r="C18" s="10">
        <v>17000</v>
      </c>
      <c r="D18" s="10">
        <f>C18*0.2</f>
        <v>3400</v>
      </c>
      <c r="E18" s="6" t="s">
        <v>45</v>
      </c>
      <c r="F18" s="6" t="s">
        <v>46</v>
      </c>
      <c r="H18" s="9" t="s">
        <v>48</v>
      </c>
      <c r="I18" s="6" t="s">
        <v>8</v>
      </c>
      <c r="J18" s="8">
        <v>5</v>
      </c>
    </row>
    <row r="19" spans="1:10" x14ac:dyDescent="0.3">
      <c r="A19" s="2" t="s">
        <v>12</v>
      </c>
      <c r="B19" s="2" t="s">
        <v>31</v>
      </c>
      <c r="C19" s="10">
        <v>3500</v>
      </c>
      <c r="D19" s="10">
        <f t="shared" ref="D19:D25" si="0">C19*0.2</f>
        <v>700</v>
      </c>
      <c r="E19" s="6" t="s">
        <v>45</v>
      </c>
      <c r="F19" s="6" t="s">
        <v>46</v>
      </c>
      <c r="H19" s="9" t="s">
        <v>1</v>
      </c>
      <c r="I19" s="6" t="s">
        <v>8</v>
      </c>
      <c r="J19" s="8">
        <v>10</v>
      </c>
    </row>
    <row r="20" spans="1:10" x14ac:dyDescent="0.3">
      <c r="A20" s="5" t="s">
        <v>13</v>
      </c>
      <c r="B20" s="5" t="s">
        <v>30</v>
      </c>
      <c r="C20" s="11">
        <f>(D5-E5)+(D5-E5)*0.15+M5</f>
        <v>3800</v>
      </c>
      <c r="D20" s="11">
        <f t="shared" si="0"/>
        <v>760</v>
      </c>
      <c r="E20" s="6" t="s">
        <v>45</v>
      </c>
      <c r="F20" s="6" t="s">
        <v>46</v>
      </c>
      <c r="H20" s="9" t="s">
        <v>41</v>
      </c>
      <c r="I20" s="6" t="s">
        <v>9</v>
      </c>
      <c r="J20" s="8" t="s">
        <v>50</v>
      </c>
    </row>
    <row r="21" spans="1:10" x14ac:dyDescent="0.3">
      <c r="A21" s="2" t="s">
        <v>15</v>
      </c>
      <c r="B21" s="2" t="s">
        <v>24</v>
      </c>
      <c r="C21" s="10">
        <v>15000</v>
      </c>
      <c r="D21" s="10">
        <f t="shared" si="0"/>
        <v>3000</v>
      </c>
      <c r="E21" s="6" t="s">
        <v>45</v>
      </c>
      <c r="F21" s="6" t="s">
        <v>46</v>
      </c>
      <c r="H21" s="9" t="s">
        <v>42</v>
      </c>
      <c r="I21" s="6" t="s">
        <v>9</v>
      </c>
      <c r="J21" s="8" t="s">
        <v>50</v>
      </c>
    </row>
    <row r="22" spans="1:10" x14ac:dyDescent="0.3">
      <c r="A22" s="2" t="s">
        <v>16</v>
      </c>
      <c r="B22" s="2" t="s">
        <v>25</v>
      </c>
      <c r="C22" s="10">
        <v>27000</v>
      </c>
      <c r="D22" s="10">
        <f t="shared" si="0"/>
        <v>5400</v>
      </c>
      <c r="E22" s="6" t="s">
        <v>45</v>
      </c>
      <c r="F22" s="6" t="s">
        <v>46</v>
      </c>
      <c r="H22" s="9" t="s">
        <v>49</v>
      </c>
      <c r="I22" s="6" t="s">
        <v>8</v>
      </c>
      <c r="J22" s="8">
        <v>8</v>
      </c>
    </row>
    <row r="23" spans="1:10" x14ac:dyDescent="0.3">
      <c r="A23" s="2" t="s">
        <v>17</v>
      </c>
      <c r="B23" s="2" t="s">
        <v>26</v>
      </c>
      <c r="C23" s="10">
        <v>1500</v>
      </c>
      <c r="D23" s="10">
        <f t="shared" si="0"/>
        <v>300</v>
      </c>
      <c r="E23" s="6" t="s">
        <v>45</v>
      </c>
      <c r="F23" s="6" t="s">
        <v>46</v>
      </c>
      <c r="H23" s="9" t="s">
        <v>44</v>
      </c>
      <c r="I23" s="6" t="s">
        <v>8</v>
      </c>
      <c r="J23" s="8">
        <v>8</v>
      </c>
    </row>
    <row r="24" spans="1:10" x14ac:dyDescent="0.3">
      <c r="A24" s="12" t="s">
        <v>18</v>
      </c>
      <c r="B24" s="12" t="s">
        <v>27</v>
      </c>
      <c r="C24" s="13">
        <f>(D10-E10) + (D10-E10)*0.15</f>
        <v>6900</v>
      </c>
      <c r="D24" s="13">
        <f t="shared" si="0"/>
        <v>1380</v>
      </c>
      <c r="E24" s="6" t="s">
        <v>45</v>
      </c>
      <c r="F24" s="6" t="s">
        <v>46</v>
      </c>
    </row>
    <row r="25" spans="1:10" x14ac:dyDescent="0.3">
      <c r="A25" s="5" t="s">
        <v>19</v>
      </c>
      <c r="B25" s="5" t="s">
        <v>28</v>
      </c>
      <c r="C25" s="11">
        <f>(D11-E11)+(D11-E11)*0.15+M9</f>
        <v>31150</v>
      </c>
      <c r="D25" s="11">
        <f t="shared" si="0"/>
        <v>6230</v>
      </c>
      <c r="E25" s="6" t="s">
        <v>45</v>
      </c>
      <c r="F25" s="6" t="s">
        <v>46</v>
      </c>
    </row>
    <row r="27" spans="1:10" x14ac:dyDescent="0.3">
      <c r="B27" s="16"/>
      <c r="C27" s="16"/>
      <c r="D27" s="16"/>
    </row>
    <row r="28" spans="1:10" x14ac:dyDescent="0.3">
      <c r="B28" s="16"/>
      <c r="C28" s="16"/>
      <c r="D28" s="16"/>
    </row>
    <row r="29" spans="1:10" x14ac:dyDescent="0.3">
      <c r="B29" s="16"/>
      <c r="C29" s="16"/>
      <c r="D29" s="16"/>
    </row>
    <row r="30" spans="1:10" x14ac:dyDescent="0.3">
      <c r="B30" s="16"/>
      <c r="C30" s="16"/>
      <c r="D30" s="16"/>
    </row>
    <row r="31" spans="1:10" x14ac:dyDescent="0.3">
      <c r="B31" s="16"/>
      <c r="C31" s="16"/>
      <c r="D31" s="16"/>
    </row>
    <row r="32" spans="1:10" x14ac:dyDescent="0.3">
      <c r="B32" s="16"/>
      <c r="C32" s="16"/>
      <c r="D32" s="16"/>
    </row>
    <row r="33" spans="2:4" x14ac:dyDescent="0.3">
      <c r="B33" s="16"/>
      <c r="C33" s="16"/>
      <c r="D33" s="16"/>
    </row>
  </sheetData>
  <mergeCells count="2">
    <mergeCell ref="A1:J1"/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 BILL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2022-11-23T18:59:34Z</dcterms:modified>
</cp:coreProperties>
</file>